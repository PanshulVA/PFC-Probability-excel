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shul\PFC\PRACTICALS\"/>
    </mc:Choice>
  </mc:AlternateContent>
  <xr:revisionPtr revIDLastSave="0" documentId="13_ncr:1_{21241B73-8EB9-4912-8ED0-DE556CDA1CF0}" xr6:coauthVersionLast="47" xr6:coauthVersionMax="47" xr10:uidLastSave="{00000000-0000-0000-0000-000000000000}"/>
  <bookViews>
    <workbookView xWindow="-110" yWindow="-110" windowWidth="19420" windowHeight="10420" tabRatio="799" activeTab="17" xr2:uid="{D75A4D59-D65C-4F7A-BA5B-D0DBD222AD78}"/>
  </bookViews>
  <sheets>
    <sheet name="Binomial Distribution " sheetId="1" r:id="rId1"/>
    <sheet name="Multinomial Distribution " sheetId="2" r:id="rId2"/>
    <sheet name="Poisson Distribution " sheetId="3" r:id="rId3"/>
    <sheet name="Geometric Distribution " sheetId="4" r:id="rId4"/>
    <sheet name="Uniform Distribution " sheetId="5" r:id="rId5"/>
    <sheet name="Exponential Distribution " sheetId="6" r:id="rId6"/>
    <sheet name="Normal Distribution " sheetId="7" r:id="rId7"/>
    <sheet name="Cumulative Distribution " sheetId="8" r:id="rId8"/>
    <sheet name="Distance " sheetId="9" r:id="rId9"/>
    <sheet name="Binomial Distribution" sheetId="10" r:id="rId10"/>
    <sheet name="Poisson Distribution" sheetId="11" r:id="rId11"/>
    <sheet name="Normal Distribution" sheetId="12" r:id="rId12"/>
    <sheet name="Covariance and Correlation " sheetId="13" r:id="rId13"/>
    <sheet name="Karl Pearson's Correlation Coef" sheetId="14" r:id="rId14"/>
    <sheet name="Frequency Distribution" sheetId="15" r:id="rId15"/>
    <sheet name="Random Numbers from Discrete" sheetId="16" r:id="rId16"/>
    <sheet name="Random Numbers from Continuous " sheetId="17" r:id="rId17"/>
    <sheet name="Sheet19" sheetId="19" r:id="rId18"/>
    <sheet name="Entropy" sheetId="1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8" l="1"/>
  <c r="B4" i="18"/>
  <c r="B5" i="18"/>
  <c r="B6" i="18"/>
  <c r="B7" i="18"/>
  <c r="B8" i="18"/>
  <c r="B9" i="18"/>
  <c r="B10" i="18"/>
  <c r="B11" i="18"/>
  <c r="B12" i="18"/>
  <c r="B2" i="18"/>
  <c r="B3" i="17"/>
  <c r="B4" i="17"/>
  <c r="B5" i="17"/>
  <c r="B6" i="17"/>
  <c r="B2" i="17"/>
  <c r="B2" i="16"/>
  <c r="B3" i="16"/>
  <c r="B4" i="16"/>
  <c r="B5" i="16"/>
  <c r="B6" i="16"/>
  <c r="H3" i="15"/>
  <c r="A10" i="15"/>
  <c r="C8" i="15"/>
  <c r="D8" i="15"/>
  <c r="E8" i="15"/>
  <c r="F8" i="15"/>
  <c r="B8" i="15"/>
  <c r="B12" i="14"/>
  <c r="B11" i="14"/>
  <c r="B10" i="14"/>
  <c r="D6" i="13"/>
  <c r="D5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" i="12"/>
  <c r="E3" i="12"/>
  <c r="E2" i="12"/>
  <c r="B3" i="11"/>
  <c r="B4" i="11"/>
  <c r="B5" i="11"/>
  <c r="B6" i="11"/>
  <c r="B7" i="11"/>
  <c r="B8" i="11"/>
  <c r="B9" i="11"/>
  <c r="B10" i="11"/>
  <c r="B11" i="11"/>
  <c r="B12" i="11"/>
  <c r="B2" i="11"/>
  <c r="B3" i="10"/>
  <c r="B4" i="10"/>
  <c r="B5" i="10"/>
  <c r="B6" i="10"/>
  <c r="B7" i="10"/>
  <c r="B8" i="10"/>
  <c r="B2" i="10"/>
  <c r="B3" i="9"/>
  <c r="B4" i="9"/>
  <c r="D3" i="9" s="1"/>
  <c r="B5" i="9"/>
  <c r="D4" i="9" s="1"/>
  <c r="B6" i="9"/>
  <c r="B7" i="9"/>
  <c r="B8" i="9"/>
  <c r="B9" i="9"/>
  <c r="D9" i="9" s="1"/>
  <c r="B2" i="9"/>
  <c r="C3" i="9"/>
  <c r="C4" i="9"/>
  <c r="C5" i="9"/>
  <c r="C6" i="9"/>
  <c r="C7" i="9"/>
  <c r="C8" i="9"/>
  <c r="C9" i="9"/>
  <c r="C2" i="9"/>
  <c r="F3" i="8"/>
  <c r="F4" i="8"/>
  <c r="F5" i="8"/>
  <c r="F6" i="8"/>
  <c r="F7" i="8"/>
  <c r="F8" i="8"/>
  <c r="F9" i="8"/>
  <c r="F10" i="8"/>
  <c r="F11" i="8"/>
  <c r="F2" i="8"/>
  <c r="C3" i="8"/>
  <c r="C4" i="8"/>
  <c r="C5" i="8"/>
  <c r="C6" i="8"/>
  <c r="C7" i="8"/>
  <c r="C8" i="8"/>
  <c r="C9" i="8"/>
  <c r="C10" i="8"/>
  <c r="C11" i="8"/>
  <c r="C2" i="8"/>
  <c r="B14" i="8"/>
  <c r="B13" i="8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2" i="7"/>
  <c r="C3" i="7"/>
  <c r="C20" i="7"/>
  <c r="C19" i="7"/>
  <c r="C3" i="6"/>
  <c r="D3" i="6"/>
  <c r="B3" i="6"/>
  <c r="C4" i="5"/>
  <c r="D4" i="5"/>
  <c r="B4" i="5"/>
  <c r="B3" i="4"/>
  <c r="B4" i="4"/>
  <c r="B5" i="4"/>
  <c r="B6" i="4"/>
  <c r="B7" i="4"/>
  <c r="B8" i="4"/>
  <c r="B9" i="4"/>
  <c r="B10" i="4"/>
  <c r="B11" i="4"/>
  <c r="B12" i="4"/>
  <c r="B13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2" i="3"/>
  <c r="C9" i="2"/>
  <c r="D9" i="2"/>
  <c r="C8" i="2"/>
  <c r="D8" i="2"/>
  <c r="B9" i="2"/>
  <c r="B8" i="2"/>
  <c r="F6" i="1"/>
  <c r="F7" i="1"/>
  <c r="F8" i="1"/>
  <c r="F9" i="1"/>
  <c r="F10" i="1"/>
  <c r="F11" i="1"/>
  <c r="F12" i="1"/>
  <c r="F13" i="1"/>
  <c r="F5" i="1"/>
  <c r="D6" i="1"/>
  <c r="D7" i="1"/>
  <c r="D8" i="1"/>
  <c r="D9" i="1"/>
  <c r="D10" i="1"/>
  <c r="D11" i="1"/>
  <c r="D12" i="1"/>
  <c r="D13" i="1"/>
  <c r="D5" i="1"/>
  <c r="B6" i="1"/>
  <c r="B7" i="1"/>
  <c r="B8" i="1"/>
  <c r="B9" i="1"/>
  <c r="B10" i="1"/>
  <c r="B11" i="1"/>
  <c r="B12" i="1"/>
  <c r="B13" i="1"/>
  <c r="B5" i="1"/>
  <c r="D2" i="9" l="1"/>
  <c r="D8" i="9"/>
  <c r="D7" i="9"/>
  <c r="D6" i="9"/>
  <c r="D5" i="9"/>
</calcChain>
</file>

<file path=xl/sharedStrings.xml><?xml version="1.0" encoding="utf-8"?>
<sst xmlns="http://schemas.openxmlformats.org/spreadsheetml/2006/main" count="121" uniqueCount="89">
  <si>
    <t>n</t>
  </si>
  <si>
    <t>p</t>
  </si>
  <si>
    <t>k</t>
  </si>
  <si>
    <t>BinomDist</t>
  </si>
  <si>
    <t>Parameter</t>
  </si>
  <si>
    <t>1st Case</t>
  </si>
  <si>
    <t>2nd Case</t>
  </si>
  <si>
    <t>3rd Case</t>
  </si>
  <si>
    <t>Red (X1)</t>
  </si>
  <si>
    <t>Green (X2)</t>
  </si>
  <si>
    <t>Blue (X3)</t>
  </si>
  <si>
    <t>P_Red (p1)</t>
  </si>
  <si>
    <t>P_Green (p2)</t>
  </si>
  <si>
    <t>P_Blue (p3)</t>
  </si>
  <si>
    <t>Multinomial Coefficient</t>
  </si>
  <si>
    <t>Probability</t>
  </si>
  <si>
    <t>k (Number of Events)</t>
  </si>
  <si>
    <t>Poisson Probability</t>
  </si>
  <si>
    <t>k (Failures before 1st success)</t>
  </si>
  <si>
    <t>Geometric Probability</t>
  </si>
  <si>
    <t>Case 1</t>
  </si>
  <si>
    <t>Case 2</t>
  </si>
  <si>
    <t>Case 3</t>
  </si>
  <si>
    <t>x1</t>
  </si>
  <si>
    <t>x2</t>
  </si>
  <si>
    <t>Uniform Distribution Probability</t>
  </si>
  <si>
    <t>x (No. of Days)</t>
  </si>
  <si>
    <t>Exponential Distribution</t>
  </si>
  <si>
    <t>Employee</t>
  </si>
  <si>
    <t>Incentive (Rs.)</t>
  </si>
  <si>
    <t>Normal Distribution Value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</si>
  <si>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</si>
  <si>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</si>
  <si>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</si>
  <si>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</si>
  <si>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</si>
  <si>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</si>
  <si>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</si>
  <si>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</si>
  <si>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</si>
  <si>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</si>
  <si>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</si>
  <si>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</si>
  <si>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</si>
  <si>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</si>
  <si>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</si>
  <si>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Mean</t>
  </si>
  <si>
    <t>SD</t>
  </si>
  <si>
    <t>Cumulative Normal Distribution</t>
  </si>
  <si>
    <t>MEAN</t>
  </si>
  <si>
    <t>No. of Days (x)</t>
  </si>
  <si>
    <t>Cumulative Exponential Distribution</t>
  </si>
  <si>
    <t>Trial</t>
  </si>
  <si>
    <t>Binomial Distribution</t>
  </si>
  <si>
    <t>Poisson Distribution</t>
  </si>
  <si>
    <t>Distance</t>
  </si>
  <si>
    <t>k (Defective Pistons)</t>
  </si>
  <si>
    <t>Binomial Probability</t>
  </si>
  <si>
    <t>k (Number of Calls)</t>
  </si>
  <si>
    <t>Temp. (deg F)</t>
  </si>
  <si>
    <t>Normal Dist. Value</t>
  </si>
  <si>
    <t>Study Hours</t>
  </si>
  <si>
    <t>Marks</t>
  </si>
  <si>
    <t>COVARIANCE</t>
  </si>
  <si>
    <t>Correlation</t>
  </si>
  <si>
    <t>x</t>
  </si>
  <si>
    <t>Y1</t>
  </si>
  <si>
    <t>Y2</t>
  </si>
  <si>
    <t>Y3</t>
  </si>
  <si>
    <t>Karl Pearson's Correlation</t>
  </si>
  <si>
    <t>XY1</t>
  </si>
  <si>
    <t>XY2</t>
  </si>
  <si>
    <t>XY3</t>
  </si>
  <si>
    <t xml:space="preserve">Value </t>
  </si>
  <si>
    <t>Marks \ Age Group</t>
  </si>
  <si>
    <t>17-19</t>
  </si>
  <si>
    <t>19-21</t>
  </si>
  <si>
    <t>21-23</t>
  </si>
  <si>
    <t>23-25</t>
  </si>
  <si>
    <t>Total</t>
  </si>
  <si>
    <t>20-30</t>
  </si>
  <si>
    <t>30-40</t>
  </si>
  <si>
    <t>40-50</t>
  </si>
  <si>
    <t>50-60</t>
  </si>
  <si>
    <t>60-70</t>
  </si>
  <si>
    <t>Midpoint</t>
  </si>
  <si>
    <t>Generated Random Value</t>
  </si>
  <si>
    <t>P(x)</t>
  </si>
  <si>
    <t>H(x)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</si>
</sst>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80" formatCode="0.00000000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176" fontId="0" fillId="0" borderId="0" xfId="0" applyNumberFormat="1"/>
    <xf numFmtId="180" fontId="0" fillId="0" borderId="0" xfId="0" applyNumberFormat="1"/>
    <xf numFmtId="0" fontId="3" fillId="2" borderId="1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readingOrder="1"/>
    </xf>
    <xf numFmtId="0" fontId="1" fillId="0" borderId="0" xfId="0" applyFont="1"/>
    <xf numFmtId="0" fontId="1" fillId="0" borderId="0" xfId="0" applyFont="1" applyFill="1" applyBorder="1" applyAlignment="1">
      <alignment horizontal="left" vertical="center" wrapText="1" indent="1"/>
    </xf>
    <xf numFmtId="17" fontId="1" fillId="0" borderId="2" xfId="0" applyNumberFormat="1" applyFont="1" applyBorder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/>
    </xf>
    <xf numFmtId="0" fontId="1" fillId="0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77F5-D9AF-4D74-9CDB-60B7C4055AD5}">
  <dimension ref="A1:F13"/>
  <sheetViews>
    <sheetView workbookViewId="0">
      <selection activeCell="H5" sqref="H5"/>
    </sheetView>
  </sheetViews>
  <sheetFormatPr defaultRowHeight="14.5" x14ac:dyDescent="0.35"/>
  <cols>
    <col min="2" max="2" width="12.36328125" bestFit="1" customWidth="1"/>
    <col min="4" max="4" width="11.36328125" bestFit="1" customWidth="1"/>
    <col min="6" max="6" width="11.36328125" bestFit="1" customWidth="1"/>
  </cols>
  <sheetData>
    <row r="1" spans="1:6" x14ac:dyDescent="0.35">
      <c r="A1" t="s">
        <v>0</v>
      </c>
      <c r="B1">
        <v>8</v>
      </c>
    </row>
    <row r="2" spans="1:6" x14ac:dyDescent="0.35">
      <c r="A2" t="s">
        <v>1</v>
      </c>
      <c r="B2">
        <v>0.75</v>
      </c>
      <c r="C2" t="s">
        <v>1</v>
      </c>
      <c r="D2">
        <v>0.5</v>
      </c>
      <c r="E2" t="s">
        <v>1</v>
      </c>
      <c r="F2">
        <v>0.25</v>
      </c>
    </row>
    <row r="4" spans="1:6" ht="15" thickBot="1" x14ac:dyDescent="0.4">
      <c r="A4" t="s">
        <v>2</v>
      </c>
      <c r="B4" t="s">
        <v>3</v>
      </c>
      <c r="C4" t="s">
        <v>2</v>
      </c>
      <c r="D4" t="s">
        <v>3</v>
      </c>
      <c r="E4" t="s">
        <v>2</v>
      </c>
      <c r="F4" t="s">
        <v>3</v>
      </c>
    </row>
    <row r="5" spans="1:6" ht="15" thickBot="1" x14ac:dyDescent="0.4">
      <c r="A5" s="1">
        <v>0</v>
      </c>
      <c r="B5" s="4">
        <f>_xlfn.BINOM.DIST(A5, 8, 0.75, FALSE)</f>
        <v>1.5258789062500007E-5</v>
      </c>
      <c r="C5" s="1">
        <v>0</v>
      </c>
      <c r="D5" s="4">
        <f>_xlfn.BINOM.DIST(C5, 8, 0.5, FALSE)</f>
        <v>3.9062500000000009E-3</v>
      </c>
      <c r="E5" s="1">
        <v>0</v>
      </c>
      <c r="F5" s="4">
        <f>_xlfn.BINOM.DIST(E5, 8, 0.25, FALSE)</f>
        <v>0.10011291503906253</v>
      </c>
    </row>
    <row r="6" spans="1:6" ht="15" thickBot="1" x14ac:dyDescent="0.4">
      <c r="A6" s="2">
        <v>1</v>
      </c>
      <c r="B6">
        <f t="shared" ref="B6:D13" si="0">_xlfn.BINOM.DIST(A6, 8, 0.75, FALSE)</f>
        <v>3.6621093749999978E-4</v>
      </c>
      <c r="C6" s="2">
        <v>1</v>
      </c>
      <c r="D6" s="4">
        <f t="shared" ref="D6:F13" si="1">_xlfn.BINOM.DIST(C6, 8, 0.5, FALSE)</f>
        <v>3.1249999999999993E-2</v>
      </c>
      <c r="E6" s="2">
        <v>1</v>
      </c>
      <c r="F6" s="4">
        <f t="shared" ref="F6:F13" si="2">_xlfn.BINOM.DIST(E6, 8, 0.25, FALSE)</f>
        <v>0.26696777343750006</v>
      </c>
    </row>
    <row r="7" spans="1:6" ht="15" thickBot="1" x14ac:dyDescent="0.4">
      <c r="A7" s="2">
        <v>2</v>
      </c>
      <c r="B7">
        <f t="shared" si="0"/>
        <v>3.8452148437500017E-3</v>
      </c>
      <c r="C7" s="2">
        <v>2</v>
      </c>
      <c r="D7" s="4">
        <f t="shared" si="1"/>
        <v>0.10937500000000006</v>
      </c>
      <c r="E7" s="2">
        <v>2</v>
      </c>
      <c r="F7" s="4">
        <f t="shared" si="2"/>
        <v>0.31146240234375</v>
      </c>
    </row>
    <row r="8" spans="1:6" ht="15" thickBot="1" x14ac:dyDescent="0.4">
      <c r="A8" s="2">
        <v>3</v>
      </c>
      <c r="B8">
        <f t="shared" si="0"/>
        <v>2.3071289062499986E-2</v>
      </c>
      <c r="C8" s="2">
        <v>3</v>
      </c>
      <c r="D8" s="4">
        <f t="shared" si="1"/>
        <v>0.21875</v>
      </c>
      <c r="E8" s="2">
        <v>3</v>
      </c>
      <c r="F8" s="4">
        <f t="shared" si="2"/>
        <v>0.20764160156250003</v>
      </c>
    </row>
    <row r="9" spans="1:6" ht="15" thickBot="1" x14ac:dyDescent="0.4">
      <c r="A9" s="2">
        <v>4</v>
      </c>
      <c r="B9">
        <f t="shared" si="0"/>
        <v>8.6517333984375E-2</v>
      </c>
      <c r="C9" s="2">
        <v>4</v>
      </c>
      <c r="D9" s="4">
        <f t="shared" si="1"/>
        <v>0.27343750000000006</v>
      </c>
      <c r="E9" s="2">
        <v>4</v>
      </c>
      <c r="F9" s="4">
        <f t="shared" si="2"/>
        <v>8.6517333984375E-2</v>
      </c>
    </row>
    <row r="10" spans="1:6" ht="15" thickBot="1" x14ac:dyDescent="0.4">
      <c r="A10" s="2">
        <v>5</v>
      </c>
      <c r="B10">
        <f t="shared" si="0"/>
        <v>0.20764160156250003</v>
      </c>
      <c r="C10" s="2">
        <v>5</v>
      </c>
      <c r="D10" s="4">
        <f t="shared" si="1"/>
        <v>0.21875</v>
      </c>
      <c r="E10" s="2">
        <v>5</v>
      </c>
      <c r="F10" s="4">
        <f t="shared" si="2"/>
        <v>2.3071289062499986E-2</v>
      </c>
    </row>
    <row r="11" spans="1:6" ht="15" thickBot="1" x14ac:dyDescent="0.4">
      <c r="A11" s="2">
        <v>6</v>
      </c>
      <c r="B11">
        <f t="shared" si="0"/>
        <v>0.31146240234375</v>
      </c>
      <c r="C11" s="2">
        <v>6</v>
      </c>
      <c r="D11" s="4">
        <f t="shared" si="1"/>
        <v>0.10937500000000006</v>
      </c>
      <c r="E11" s="2">
        <v>6</v>
      </c>
      <c r="F11" s="4">
        <f t="shared" si="2"/>
        <v>3.8452148437500017E-3</v>
      </c>
    </row>
    <row r="12" spans="1:6" ht="15" thickBot="1" x14ac:dyDescent="0.4">
      <c r="A12" s="2">
        <v>7</v>
      </c>
      <c r="B12">
        <f t="shared" si="0"/>
        <v>0.26696777343750006</v>
      </c>
      <c r="C12" s="2">
        <v>7</v>
      </c>
      <c r="D12" s="4">
        <f t="shared" si="1"/>
        <v>3.1250000000000007E-2</v>
      </c>
      <c r="E12" s="2">
        <v>7</v>
      </c>
      <c r="F12" s="4">
        <f t="shared" si="2"/>
        <v>3.6621093749999978E-4</v>
      </c>
    </row>
    <row r="13" spans="1:6" ht="15" thickBot="1" x14ac:dyDescent="0.4">
      <c r="A13" s="1">
        <v>8</v>
      </c>
      <c r="B13">
        <f t="shared" si="0"/>
        <v>0.10011291503906253</v>
      </c>
      <c r="C13" s="1">
        <v>8</v>
      </c>
      <c r="D13" s="4">
        <f t="shared" si="1"/>
        <v>3.9062500000000009E-3</v>
      </c>
      <c r="E13" s="1">
        <v>8</v>
      </c>
      <c r="F13" s="4">
        <f t="shared" si="2"/>
        <v>1.5258789062500007E-5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6EF0-9A37-49B4-9B64-302FADEC2163}">
  <dimension ref="A1:D9"/>
  <sheetViews>
    <sheetView workbookViewId="0">
      <selection activeCell="B10" sqref="B10"/>
    </sheetView>
  </sheetViews>
  <sheetFormatPr defaultRowHeight="14.5" x14ac:dyDescent="0.35"/>
  <cols>
    <col min="1" max="1" width="20.453125" customWidth="1"/>
  </cols>
  <sheetData>
    <row r="1" spans="1:4" ht="26.5" thickBot="1" x14ac:dyDescent="0.4">
      <c r="A1" s="5" t="s">
        <v>4</v>
      </c>
      <c r="B1" s="6" t="s">
        <v>5</v>
      </c>
      <c r="C1" s="6" t="s">
        <v>6</v>
      </c>
      <c r="D1" s="6" t="s">
        <v>7</v>
      </c>
    </row>
    <row r="2" spans="1:4" ht="15" thickBot="1" x14ac:dyDescent="0.4">
      <c r="A2" s="1" t="s">
        <v>8</v>
      </c>
      <c r="B2">
        <v>3</v>
      </c>
      <c r="C2">
        <v>4</v>
      </c>
      <c r="D2">
        <v>2</v>
      </c>
    </row>
    <row r="3" spans="1:4" ht="15" thickBot="1" x14ac:dyDescent="0.4">
      <c r="A3" s="2" t="s">
        <v>9</v>
      </c>
      <c r="B3">
        <v>1</v>
      </c>
      <c r="C3">
        <v>0</v>
      </c>
      <c r="D3">
        <v>1</v>
      </c>
    </row>
    <row r="4" spans="1:4" ht="15" thickBot="1" x14ac:dyDescent="0.4">
      <c r="A4" s="2" t="s">
        <v>10</v>
      </c>
      <c r="B4">
        <v>5</v>
      </c>
      <c r="C4">
        <v>3</v>
      </c>
      <c r="D4">
        <v>3</v>
      </c>
    </row>
    <row r="5" spans="1:4" ht="15" thickBot="1" x14ac:dyDescent="0.4">
      <c r="A5" s="2" t="s">
        <v>11</v>
      </c>
      <c r="B5">
        <v>0.4</v>
      </c>
      <c r="C5" s="1">
        <v>0.4</v>
      </c>
      <c r="D5" s="8">
        <v>0.4</v>
      </c>
    </row>
    <row r="6" spans="1:4" ht="15" thickBot="1" x14ac:dyDescent="0.4">
      <c r="A6" s="2" t="s">
        <v>12</v>
      </c>
      <c r="B6">
        <v>0.15</v>
      </c>
      <c r="C6" s="2">
        <v>0.15</v>
      </c>
      <c r="D6" s="7">
        <v>0.15</v>
      </c>
    </row>
    <row r="7" spans="1:4" ht="15" thickBot="1" x14ac:dyDescent="0.4">
      <c r="A7" s="2" t="s">
        <v>13</v>
      </c>
      <c r="B7">
        <v>0.45</v>
      </c>
      <c r="C7" s="2">
        <v>0.45</v>
      </c>
      <c r="D7" s="7">
        <v>0.45</v>
      </c>
    </row>
    <row r="8" spans="1:4" ht="15" thickBot="1" x14ac:dyDescent="0.4">
      <c r="A8" s="2" t="s">
        <v>14</v>
      </c>
      <c r="B8">
        <f>MULTINOMIAL(B2, B3, B4)</f>
        <v>504.00000000000006</v>
      </c>
      <c r="C8">
        <f t="shared" ref="C8:D8" si="0">MULTINOMIAL(C2, C3, C4)</f>
        <v>34.99999999999995</v>
      </c>
      <c r="D8">
        <f t="shared" si="0"/>
        <v>59.999999999999929</v>
      </c>
    </row>
    <row r="9" spans="1:4" ht="15" thickBot="1" x14ac:dyDescent="0.4">
      <c r="A9" s="2" t="s">
        <v>15</v>
      </c>
      <c r="B9">
        <f>B8*PRODUCT(B5^B2,B6^B3,B7^B4)</f>
        <v>8.9282088000000065E-2</v>
      </c>
      <c r="C9">
        <f t="shared" ref="C9:D9" si="1">C8*PRODUCT(C5^C2,C6^C3,C7^C4)</f>
        <v>8.1647999999999929E-2</v>
      </c>
      <c r="D9">
        <f t="shared" si="1"/>
        <v>0.13121999999999989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81F7-EF46-4939-814E-034511553508}">
  <dimension ref="A1:B14"/>
  <sheetViews>
    <sheetView workbookViewId="0">
      <selection activeCell="D10" sqref="D10"/>
    </sheetView>
  </sheetViews>
  <sheetFormatPr defaultRowHeight="14.5" x14ac:dyDescent="0.35"/>
  <cols>
    <col min="1" max="1" width="25" customWidth="1"/>
    <col min="2" max="2" width="21.6328125" customWidth="1"/>
  </cols>
  <sheetData>
    <row r="1" spans="1:2" ht="22.5" customHeight="1" thickBot="1" x14ac:dyDescent="0.4">
      <c r="A1" s="5" t="s">
        <v>16</v>
      </c>
      <c r="B1" s="5" t="s">
        <v>17</v>
      </c>
    </row>
    <row r="2" spans="1:2" ht="15" thickBot="1" x14ac:dyDescent="0.4">
      <c r="A2" s="2">
        <v>0</v>
      </c>
      <c r="B2">
        <f>_xlfn.POISSON.DIST(A2,8,FALSE)</f>
        <v>3.3546262790251185E-4</v>
      </c>
    </row>
    <row r="3" spans="1:2" ht="15" thickBot="1" x14ac:dyDescent="0.4">
      <c r="A3" s="2">
        <v>1</v>
      </c>
      <c r="B3">
        <f t="shared" ref="B3:B14" si="0">_xlfn.POISSON.DIST(A3,8,FALSE)</f>
        <v>2.683701023220094E-3</v>
      </c>
    </row>
    <row r="4" spans="1:2" ht="15" thickBot="1" x14ac:dyDescent="0.4">
      <c r="A4" s="2">
        <v>2</v>
      </c>
      <c r="B4">
        <f t="shared" si="0"/>
        <v>1.0734804092880379E-2</v>
      </c>
    </row>
    <row r="5" spans="1:2" ht="15" thickBot="1" x14ac:dyDescent="0.4">
      <c r="A5" s="2">
        <v>3</v>
      </c>
      <c r="B5">
        <f t="shared" si="0"/>
        <v>2.8626144247681014E-2</v>
      </c>
    </row>
    <row r="6" spans="1:2" ht="15" thickBot="1" x14ac:dyDescent="0.4">
      <c r="A6" s="2">
        <v>4</v>
      </c>
      <c r="B6">
        <f t="shared" si="0"/>
        <v>5.7252288495362028E-2</v>
      </c>
    </row>
    <row r="7" spans="1:2" ht="15" thickBot="1" x14ac:dyDescent="0.4">
      <c r="A7" s="2">
        <v>5</v>
      </c>
      <c r="B7">
        <f t="shared" si="0"/>
        <v>9.1603661592579252E-2</v>
      </c>
    </row>
    <row r="8" spans="1:2" ht="15" thickBot="1" x14ac:dyDescent="0.4">
      <c r="A8" s="2">
        <v>6</v>
      </c>
      <c r="B8">
        <f t="shared" si="0"/>
        <v>0.12213821545677231</v>
      </c>
    </row>
    <row r="9" spans="1:2" ht="15" thickBot="1" x14ac:dyDescent="0.4">
      <c r="A9" s="2">
        <v>7</v>
      </c>
      <c r="B9">
        <f t="shared" si="0"/>
        <v>0.13958653195059695</v>
      </c>
    </row>
    <row r="10" spans="1:2" ht="15" thickBot="1" x14ac:dyDescent="0.4">
      <c r="A10" s="2">
        <v>8</v>
      </c>
      <c r="B10">
        <f t="shared" si="0"/>
        <v>0.13958653195059695</v>
      </c>
    </row>
    <row r="11" spans="1:2" ht="15" thickBot="1" x14ac:dyDescent="0.4">
      <c r="A11" s="2">
        <v>9</v>
      </c>
      <c r="B11">
        <f t="shared" si="0"/>
        <v>0.12407691728941951</v>
      </c>
    </row>
    <row r="12" spans="1:2" ht="15" thickBot="1" x14ac:dyDescent="0.4">
      <c r="A12" s="2">
        <v>10</v>
      </c>
      <c r="B12">
        <f t="shared" si="0"/>
        <v>9.9261533831535603E-2</v>
      </c>
    </row>
    <row r="13" spans="1:2" ht="15" thickBot="1" x14ac:dyDescent="0.4">
      <c r="A13" s="2">
        <v>11</v>
      </c>
      <c r="B13">
        <f t="shared" si="0"/>
        <v>7.2190206422934985E-2</v>
      </c>
    </row>
    <row r="14" spans="1:2" ht="15" thickBot="1" x14ac:dyDescent="0.4">
      <c r="A14" s="2">
        <v>12</v>
      </c>
      <c r="B14">
        <f t="shared" si="0"/>
        <v>4.8126804281956682E-2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2A2-83A5-4FA8-B1B1-505976F66670}">
  <dimension ref="A1:B13"/>
  <sheetViews>
    <sheetView topLeftCell="A3" workbookViewId="0">
      <selection activeCell="D12" sqref="D12"/>
    </sheetView>
  </sheetViews>
  <sheetFormatPr defaultRowHeight="14.5" x14ac:dyDescent="0.35"/>
  <cols>
    <col min="1" max="1" width="30.1796875" customWidth="1"/>
    <col min="2" max="2" width="21.90625" customWidth="1"/>
  </cols>
  <sheetData>
    <row r="1" spans="1:2" s="10" customFormat="1" ht="18" customHeight="1" thickBot="1" x14ac:dyDescent="0.4">
      <c r="A1" s="9" t="s">
        <v>18</v>
      </c>
      <c r="B1" s="9" t="s">
        <v>19</v>
      </c>
    </row>
    <row r="2" spans="1:2" ht="15" thickBot="1" x14ac:dyDescent="0.4">
      <c r="A2" s="2">
        <v>0</v>
      </c>
      <c r="B2">
        <f>(1-0.3)^A2 * 0.3</f>
        <v>0.3</v>
      </c>
    </row>
    <row r="3" spans="1:2" ht="15" thickBot="1" x14ac:dyDescent="0.4">
      <c r="A3" s="2">
        <v>1</v>
      </c>
      <c r="B3">
        <f t="shared" ref="B3:B13" si="0">(1-0.3)^A3 * 0.3</f>
        <v>0.21</v>
      </c>
    </row>
    <row r="4" spans="1:2" ht="15" thickBot="1" x14ac:dyDescent="0.4">
      <c r="A4" s="2">
        <v>2</v>
      </c>
      <c r="B4">
        <f t="shared" si="0"/>
        <v>0.14699999999999996</v>
      </c>
    </row>
    <row r="5" spans="1:2" ht="15" thickBot="1" x14ac:dyDescent="0.4">
      <c r="A5" s="2">
        <v>3</v>
      </c>
      <c r="B5">
        <f t="shared" si="0"/>
        <v>0.10289999999999998</v>
      </c>
    </row>
    <row r="6" spans="1:2" ht="15" thickBot="1" x14ac:dyDescent="0.4">
      <c r="A6" s="2">
        <v>4</v>
      </c>
      <c r="B6">
        <f t="shared" si="0"/>
        <v>7.2029999999999969E-2</v>
      </c>
    </row>
    <row r="7" spans="1:2" ht="15" thickBot="1" x14ac:dyDescent="0.4">
      <c r="A7" s="2">
        <v>5</v>
      </c>
      <c r="B7">
        <f t="shared" si="0"/>
        <v>5.042099999999998E-2</v>
      </c>
    </row>
    <row r="8" spans="1:2" ht="15" thickBot="1" x14ac:dyDescent="0.4">
      <c r="A8" s="2">
        <v>6</v>
      </c>
      <c r="B8">
        <f t="shared" si="0"/>
        <v>3.5294699999999984E-2</v>
      </c>
    </row>
    <row r="9" spans="1:2" ht="15" thickBot="1" x14ac:dyDescent="0.4">
      <c r="A9" s="2">
        <v>7</v>
      </c>
      <c r="B9">
        <f t="shared" si="0"/>
        <v>2.4706289999999985E-2</v>
      </c>
    </row>
    <row r="10" spans="1:2" ht="15" thickBot="1" x14ac:dyDescent="0.4">
      <c r="A10" s="2">
        <v>8</v>
      </c>
      <c r="B10">
        <f t="shared" si="0"/>
        <v>1.7294402999999989E-2</v>
      </c>
    </row>
    <row r="11" spans="1:2" ht="15" thickBot="1" x14ac:dyDescent="0.4">
      <c r="A11" s="2">
        <v>9</v>
      </c>
      <c r="B11">
        <f t="shared" si="0"/>
        <v>1.2106082099999992E-2</v>
      </c>
    </row>
    <row r="12" spans="1:2" ht="15" thickBot="1" x14ac:dyDescent="0.4">
      <c r="A12" s="2">
        <v>10</v>
      </c>
      <c r="B12">
        <f t="shared" si="0"/>
        <v>8.4742574699999944E-3</v>
      </c>
    </row>
    <row r="13" spans="1:2" ht="15" thickBot="1" x14ac:dyDescent="0.4">
      <c r="A13" s="2">
        <v>11</v>
      </c>
      <c r="B13">
        <f t="shared" si="0"/>
        <v>5.9319802289999951E-3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C6F4-DCCC-4F10-B0E5-2BB572D7EEE2}">
  <dimension ref="A1:D4"/>
  <sheetViews>
    <sheetView workbookViewId="0">
      <selection activeCell="C4" sqref="C4"/>
    </sheetView>
  </sheetViews>
  <sheetFormatPr defaultRowHeight="14.5" x14ac:dyDescent="0.35"/>
  <cols>
    <col min="1" max="1" width="26.36328125" customWidth="1"/>
  </cols>
  <sheetData>
    <row r="1" spans="1:4" ht="26.5" thickBot="1" x14ac:dyDescent="0.4">
      <c r="A1" s="5" t="s">
        <v>4</v>
      </c>
      <c r="B1" s="6" t="s">
        <v>20</v>
      </c>
      <c r="C1" s="6" t="s">
        <v>21</v>
      </c>
      <c r="D1" s="6" t="s">
        <v>22</v>
      </c>
    </row>
    <row r="2" spans="1:4" ht="15" thickBot="1" x14ac:dyDescent="0.4">
      <c r="A2" s="2" t="s">
        <v>23</v>
      </c>
      <c r="B2" s="7">
        <v>12</v>
      </c>
      <c r="C2" s="7">
        <v>17</v>
      </c>
      <c r="D2" s="7">
        <v>22</v>
      </c>
    </row>
    <row r="3" spans="1:4" ht="15" thickBot="1" x14ac:dyDescent="0.4">
      <c r="A3" s="2" t="s">
        <v>24</v>
      </c>
      <c r="B3" s="7">
        <v>16</v>
      </c>
      <c r="C3" s="7">
        <v>21</v>
      </c>
      <c r="D3" s="7">
        <v>26</v>
      </c>
    </row>
    <row r="4" spans="1:4" x14ac:dyDescent="0.35">
      <c r="A4" s="11" t="s">
        <v>25</v>
      </c>
      <c r="B4">
        <f xml:space="preserve"> (B3-B2)/(30-10)</f>
        <v>0.2</v>
      </c>
      <c r="C4">
        <f t="shared" ref="C4:D4" si="0" xml:space="preserve"> (C3-C2)/(30-10)</f>
        <v>0.2</v>
      </c>
      <c r="D4">
        <f t="shared" si="0"/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2AE6-D45A-4093-8D7D-444EA83BB2C9}">
  <dimension ref="A1:D3"/>
  <sheetViews>
    <sheetView workbookViewId="0">
      <selection activeCell="B3" sqref="B3"/>
    </sheetView>
  </sheetViews>
  <sheetFormatPr defaultRowHeight="14.5" x14ac:dyDescent="0.35"/>
  <cols>
    <col min="1" max="1" width="22.08984375" customWidth="1"/>
  </cols>
  <sheetData>
    <row r="1" spans="1:4" ht="15" thickBot="1" x14ac:dyDescent="0.4">
      <c r="A1" s="5" t="s">
        <v>4</v>
      </c>
      <c r="B1" s="6" t="s">
        <v>20</v>
      </c>
      <c r="C1" s="6" t="s">
        <v>21</v>
      </c>
      <c r="D1" s="6" t="s">
        <v>22</v>
      </c>
    </row>
    <row r="2" spans="1:4" ht="15" thickBot="1" x14ac:dyDescent="0.4">
      <c r="A2" s="1" t="s">
        <v>26</v>
      </c>
      <c r="B2" s="1">
        <v>400</v>
      </c>
      <c r="C2" s="8">
        <v>450</v>
      </c>
      <c r="D2" s="8">
        <v>500</v>
      </c>
    </row>
    <row r="3" spans="1:4" ht="19" customHeight="1" thickBot="1" x14ac:dyDescent="0.4">
      <c r="A3" s="2" t="s">
        <v>27</v>
      </c>
      <c r="B3">
        <f>_xlfn.EXPON.DIST(B2, 0.0033, FALSE)</f>
        <v>8.8154649648730611E-4</v>
      </c>
      <c r="C3">
        <f t="shared" ref="C3:D3" si="0">_xlfn.EXPON.DIST(C2, 0.0033, FALSE)</f>
        <v>7.4745772423234682E-4</v>
      </c>
      <c r="D3">
        <f t="shared" si="0"/>
        <v>6.3376469844848859E-4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E3BA-A511-4BDF-A2A4-EB94C62879DB}">
  <dimension ref="A1:C20"/>
  <sheetViews>
    <sheetView topLeftCell="A11" workbookViewId="0">
      <selection activeCell="C16" sqref="C16"/>
    </sheetView>
  </sheetViews>
  <sheetFormatPr defaultRowHeight="14.5" x14ac:dyDescent="0.35"/>
  <cols>
    <col min="1" max="1" width="12.6328125" customWidth="1"/>
    <col min="2" max="2" width="15.08984375" customWidth="1"/>
    <col min="3" max="3" width="25.90625" customWidth="1"/>
  </cols>
  <sheetData>
    <row r="1" spans="1:3" ht="15" thickBot="1" x14ac:dyDescent="0.4">
      <c r="A1" s="5" t="s">
        <v>28</v>
      </c>
      <c r="B1" s="6" t="s">
        <v>29</v>
      </c>
      <c r="C1" s="6" t="s">
        <v>30</v>
      </c>
    </row>
    <row r="2" spans="1:3" ht="15" thickBot="1" x14ac:dyDescent="0.4">
      <c r="A2" s="1" t="s">
        <v>31</v>
      </c>
      <c r="B2" s="1">
        <v>2000</v>
      </c>
      <c r="C2">
        <f>_xlfn.NORM.DIST(B2, 16000, 8944.27191, FALSE)</f>
        <v>1.3102504936321627E-5</v>
      </c>
    </row>
    <row r="3" spans="1:3" ht="15" thickBot="1" x14ac:dyDescent="0.4">
      <c r="A3" s="2" t="s">
        <v>32</v>
      </c>
      <c r="B3" s="2">
        <v>4000</v>
      </c>
      <c r="C3">
        <f>_xlfn.NORM.DIST(B3, 16000, 8944.27191, FALSE)</f>
        <v>1.8134268370982094E-5</v>
      </c>
    </row>
    <row r="4" spans="1:3" ht="15" thickBot="1" x14ac:dyDescent="0.4">
      <c r="A4" s="2" t="s">
        <v>33</v>
      </c>
      <c r="B4" s="2">
        <v>6000</v>
      </c>
      <c r="C4">
        <f t="shared" ref="C4:C16" si="0">_xlfn.NORM.DIST(B4, 16000, 8944.27191, FALSE)</f>
        <v>2.3874320576678395E-5</v>
      </c>
    </row>
    <row r="5" spans="1:3" ht="15" thickBot="1" x14ac:dyDescent="0.4">
      <c r="A5" s="2" t="s">
        <v>34</v>
      </c>
      <c r="B5" s="2">
        <v>8000</v>
      </c>
      <c r="C5">
        <f t="shared" si="0"/>
        <v>2.9898353991819938E-5</v>
      </c>
    </row>
    <row r="6" spans="1:3" ht="15" thickBot="1" x14ac:dyDescent="0.4">
      <c r="A6" s="2" t="s">
        <v>35</v>
      </c>
      <c r="B6" s="2">
        <v>10000</v>
      </c>
      <c r="C6">
        <f t="shared" si="0"/>
        <v>3.5616301075691321E-5</v>
      </c>
    </row>
    <row r="7" spans="1:3" ht="15" thickBot="1" x14ac:dyDescent="0.4">
      <c r="A7" s="2" t="s">
        <v>36</v>
      </c>
      <c r="B7" s="2">
        <v>12000</v>
      </c>
      <c r="C7">
        <f t="shared" si="0"/>
        <v>4.035855646788102E-5</v>
      </c>
    </row>
    <row r="8" spans="1:3" ht="15" thickBot="1" x14ac:dyDescent="0.4">
      <c r="A8" s="2" t="s">
        <v>37</v>
      </c>
      <c r="B8" s="2">
        <v>14000</v>
      </c>
      <c r="C8">
        <f t="shared" si="0"/>
        <v>4.3501848369310772E-5</v>
      </c>
    </row>
    <row r="9" spans="1:3" ht="15" thickBot="1" x14ac:dyDescent="0.4">
      <c r="A9" s="2" t="s">
        <v>38</v>
      </c>
      <c r="B9" s="2">
        <v>16000</v>
      </c>
      <c r="C9">
        <f t="shared" si="0"/>
        <v>4.4603102903815087E-5</v>
      </c>
    </row>
    <row r="10" spans="1:3" ht="15" thickBot="1" x14ac:dyDescent="0.4">
      <c r="A10" s="2" t="s">
        <v>39</v>
      </c>
      <c r="B10" s="2">
        <v>18000</v>
      </c>
      <c r="C10">
        <f t="shared" si="0"/>
        <v>4.3501848369310772E-5</v>
      </c>
    </row>
    <row r="11" spans="1:3" ht="15" thickBot="1" x14ac:dyDescent="0.4">
      <c r="A11" s="2" t="s">
        <v>40</v>
      </c>
      <c r="B11" s="2">
        <v>20000</v>
      </c>
      <c r="C11">
        <f t="shared" si="0"/>
        <v>4.035855646788102E-5</v>
      </c>
    </row>
    <row r="12" spans="1:3" ht="15" thickBot="1" x14ac:dyDescent="0.4">
      <c r="A12" s="2" t="s">
        <v>41</v>
      </c>
      <c r="B12" s="2">
        <v>22000</v>
      </c>
      <c r="C12">
        <f t="shared" si="0"/>
        <v>3.5616301075691321E-5</v>
      </c>
    </row>
    <row r="13" spans="1:3" ht="15" thickBot="1" x14ac:dyDescent="0.4">
      <c r="A13" s="2" t="s">
        <v>42</v>
      </c>
      <c r="B13" s="2">
        <v>24000</v>
      </c>
      <c r="C13">
        <f t="shared" si="0"/>
        <v>2.9898353991819938E-5</v>
      </c>
    </row>
    <row r="14" spans="1:3" ht="15" thickBot="1" x14ac:dyDescent="0.4">
      <c r="A14" s="2" t="s">
        <v>43</v>
      </c>
      <c r="B14" s="2">
        <v>26000</v>
      </c>
      <c r="C14">
        <f t="shared" si="0"/>
        <v>2.3874320576678395E-5</v>
      </c>
    </row>
    <row r="15" spans="1:3" ht="15" thickBot="1" x14ac:dyDescent="0.4">
      <c r="A15" s="2" t="s">
        <v>44</v>
      </c>
      <c r="B15" s="2">
        <v>28000</v>
      </c>
      <c r="C15">
        <f t="shared" si="0"/>
        <v>1.8134268370982094E-5</v>
      </c>
    </row>
    <row r="16" spans="1:3" ht="15" thickBot="1" x14ac:dyDescent="0.4">
      <c r="A16" s="2" t="s">
        <v>45</v>
      </c>
      <c r="B16" s="2">
        <v>30000</v>
      </c>
      <c r="C16">
        <f t="shared" si="0"/>
        <v>1.3102504936321627E-5</v>
      </c>
    </row>
    <row r="19" spans="2:3" x14ac:dyDescent="0.35">
      <c r="B19" t="s">
        <v>46</v>
      </c>
      <c r="C19">
        <f>AVERAGE(B2:B16)</f>
        <v>16000</v>
      </c>
    </row>
    <row r="20" spans="2:3" x14ac:dyDescent="0.35">
      <c r="B20" t="s">
        <v>47</v>
      </c>
      <c r="C20">
        <f>STDEV(B2:B16)</f>
        <v>8944.2719099991591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6EAD-9CE8-4D57-AE20-C3A566D5EEED}">
  <dimension ref="A1:F14"/>
  <sheetViews>
    <sheetView workbookViewId="0">
      <selection activeCell="G9" sqref="G9"/>
    </sheetView>
  </sheetViews>
  <sheetFormatPr defaultRowHeight="14.5" x14ac:dyDescent="0.35"/>
  <cols>
    <col min="1" max="1" width="10.90625" customWidth="1"/>
    <col min="2" max="2" width="15.7265625" customWidth="1"/>
    <col min="3" max="3" width="29.08984375" customWidth="1"/>
    <col min="5" max="5" width="16.36328125" customWidth="1"/>
    <col min="6" max="6" width="33.36328125" customWidth="1"/>
  </cols>
  <sheetData>
    <row r="1" spans="1:6" ht="23.5" customHeight="1" thickBot="1" x14ac:dyDescent="0.4">
      <c r="A1" s="5" t="s">
        <v>28</v>
      </c>
      <c r="B1" s="6" t="s">
        <v>29</v>
      </c>
      <c r="C1" s="6" t="s">
        <v>48</v>
      </c>
      <c r="E1" s="5" t="s">
        <v>50</v>
      </c>
      <c r="F1" s="6" t="s">
        <v>51</v>
      </c>
    </row>
    <row r="2" spans="1:6" ht="15" thickBot="1" x14ac:dyDescent="0.4">
      <c r="A2" s="1" t="s">
        <v>31</v>
      </c>
      <c r="B2" s="1">
        <v>2000</v>
      </c>
      <c r="C2">
        <f>_xlfn.NORM.DIST(B2,1100,5744.562647,FALSE)</f>
        <v>6.859984242332016E-5</v>
      </c>
      <c r="E2" s="1">
        <v>300</v>
      </c>
      <c r="F2">
        <f>_xlfn.EXPON.DIST(E2,0.0033,FALSE)</f>
        <v>1.2262030803727509E-3</v>
      </c>
    </row>
    <row r="3" spans="1:6" ht="15" thickBot="1" x14ac:dyDescent="0.4">
      <c r="A3" s="2" t="s">
        <v>32</v>
      </c>
      <c r="B3" s="2">
        <v>4000</v>
      </c>
      <c r="C3">
        <f t="shared" ref="C3:C11" si="0">_xlfn.NORM.DIST(B3,1100,5744.562647,FALSE)</f>
        <v>6.1138312932069644E-5</v>
      </c>
      <c r="E3" s="2">
        <v>320</v>
      </c>
      <c r="F3">
        <f t="shared" ref="F3:F11" si="1">_xlfn.EXPON.DIST(E3,0.0033,FALSE)</f>
        <v>1.1478865494263884E-3</v>
      </c>
    </row>
    <row r="4" spans="1:6" ht="15" thickBot="1" x14ac:dyDescent="0.4">
      <c r="A4" s="2" t="s">
        <v>33</v>
      </c>
      <c r="B4" s="2">
        <v>6000</v>
      </c>
      <c r="C4">
        <f t="shared" si="0"/>
        <v>4.8268302690691257E-5</v>
      </c>
      <c r="E4" s="2">
        <v>350</v>
      </c>
      <c r="F4">
        <f t="shared" si="1"/>
        <v>1.039689871781264E-3</v>
      </c>
    </row>
    <row r="5" spans="1:6" ht="15" thickBot="1" x14ac:dyDescent="0.4">
      <c r="A5" s="2" t="s">
        <v>34</v>
      </c>
      <c r="B5" s="2">
        <v>8000</v>
      </c>
      <c r="C5">
        <f t="shared" si="0"/>
        <v>3.3757389068416918E-5</v>
      </c>
      <c r="E5" s="2">
        <v>400</v>
      </c>
      <c r="F5">
        <f t="shared" si="1"/>
        <v>8.8154649648730611E-4</v>
      </c>
    </row>
    <row r="6" spans="1:6" ht="15" thickBot="1" x14ac:dyDescent="0.4">
      <c r="A6" s="2" t="s">
        <v>35</v>
      </c>
      <c r="B6" s="2">
        <v>10000</v>
      </c>
      <c r="C6">
        <f t="shared" si="0"/>
        <v>2.0913846467311654E-5</v>
      </c>
      <c r="E6" s="2">
        <v>420</v>
      </c>
      <c r="F6">
        <f t="shared" si="1"/>
        <v>8.2524288366991069E-4</v>
      </c>
    </row>
    <row r="7" spans="1:6" ht="15" thickBot="1" x14ac:dyDescent="0.4">
      <c r="A7" s="2" t="s">
        <v>36</v>
      </c>
      <c r="B7" s="2">
        <v>12000</v>
      </c>
      <c r="C7">
        <f t="shared" si="0"/>
        <v>1.1477762297852214E-5</v>
      </c>
      <c r="E7" s="2">
        <v>450</v>
      </c>
      <c r="F7">
        <f t="shared" si="1"/>
        <v>7.4745772423234682E-4</v>
      </c>
    </row>
    <row r="8" spans="1:6" ht="15" thickBot="1" x14ac:dyDescent="0.4">
      <c r="A8" s="2" t="s">
        <v>37</v>
      </c>
      <c r="B8" s="2">
        <v>14000</v>
      </c>
      <c r="C8">
        <f t="shared" si="0"/>
        <v>5.5800588838883285E-6</v>
      </c>
      <c r="E8" s="2">
        <v>500</v>
      </c>
      <c r="F8">
        <f t="shared" si="1"/>
        <v>6.3376469844848859E-4</v>
      </c>
    </row>
    <row r="9" spans="1:6" ht="15" thickBot="1" x14ac:dyDescent="0.4">
      <c r="A9" s="2" t="s">
        <v>38</v>
      </c>
      <c r="B9" s="2">
        <v>16000</v>
      </c>
      <c r="C9">
        <f t="shared" si="0"/>
        <v>2.403137287221742E-6</v>
      </c>
      <c r="E9" s="2">
        <v>520</v>
      </c>
      <c r="F9">
        <f t="shared" si="1"/>
        <v>5.9328669491610074E-4</v>
      </c>
    </row>
    <row r="10" spans="1:6" ht="15" thickBot="1" x14ac:dyDescent="0.4">
      <c r="A10" s="2" t="s">
        <v>39</v>
      </c>
      <c r="B10" s="2">
        <v>18000</v>
      </c>
      <c r="C10">
        <f t="shared" si="0"/>
        <v>9.1680426886657365E-7</v>
      </c>
      <c r="E10" s="2">
        <v>550</v>
      </c>
      <c r="F10">
        <f t="shared" si="1"/>
        <v>5.3736509768765E-4</v>
      </c>
    </row>
    <row r="11" spans="1:6" ht="15" thickBot="1" x14ac:dyDescent="0.4">
      <c r="A11" s="2" t="s">
        <v>40</v>
      </c>
      <c r="B11" s="2">
        <v>20000</v>
      </c>
      <c r="C11">
        <f t="shared" si="0"/>
        <v>3.0983674122450043E-7</v>
      </c>
      <c r="E11" s="2">
        <v>600</v>
      </c>
      <c r="F11">
        <f t="shared" si="1"/>
        <v>4.5562848312594634E-4</v>
      </c>
    </row>
    <row r="13" spans="1:6" x14ac:dyDescent="0.35">
      <c r="A13" s="12" t="s">
        <v>49</v>
      </c>
      <c r="B13">
        <f>AVERAGE(B2:B11)</f>
        <v>11000</v>
      </c>
    </row>
    <row r="14" spans="1:6" x14ac:dyDescent="0.35">
      <c r="A14" s="12" t="s">
        <v>47</v>
      </c>
      <c r="B14">
        <f>_xlfn.STDEV.P(B2:B11)</f>
        <v>5744.5626465380283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CEDA-3426-4732-BDB4-4D76E002A897}">
  <dimension ref="A1:D9"/>
  <sheetViews>
    <sheetView workbookViewId="0">
      <selection activeCell="B10" sqref="B10"/>
    </sheetView>
  </sheetViews>
  <sheetFormatPr defaultRowHeight="14.5" x14ac:dyDescent="0.35"/>
  <cols>
    <col min="2" max="2" width="20" customWidth="1"/>
    <col min="3" max="3" width="20.26953125" customWidth="1"/>
    <col min="4" max="4" width="10.08984375" customWidth="1"/>
  </cols>
  <sheetData>
    <row r="1" spans="1:4" ht="25.5" customHeight="1" thickBot="1" x14ac:dyDescent="0.4">
      <c r="A1" s="5" t="s">
        <v>52</v>
      </c>
      <c r="B1" s="6" t="s">
        <v>53</v>
      </c>
      <c r="C1" s="6" t="s">
        <v>54</v>
      </c>
      <c r="D1" s="6" t="s">
        <v>55</v>
      </c>
    </row>
    <row r="2" spans="1:4" ht="15" thickBot="1" x14ac:dyDescent="0.4">
      <c r="A2" s="1">
        <v>1</v>
      </c>
      <c r="B2">
        <f>_xlfn.BINOM.DIST(A2,8,0.45,FALSE)</f>
        <v>5.4807668437499971E-2</v>
      </c>
      <c r="C2">
        <f>_xlfn.POISSON.DIST(A2,0.45,FALSE)</f>
        <v>0.28693266822979796</v>
      </c>
      <c r="D2">
        <f>SQRT(SUMXMY2(B2:B9,C2:C9))</f>
        <v>0.47608925097450377</v>
      </c>
    </row>
    <row r="3" spans="1:4" ht="15" thickBot="1" x14ac:dyDescent="0.4">
      <c r="A3" s="2">
        <v>2</v>
      </c>
      <c r="B3">
        <f t="shared" ref="B3:B9" si="0">_xlfn.BINOM.DIST(A3,8,0.45,FALSE)</f>
        <v>0.15694923234374994</v>
      </c>
      <c r="C3">
        <f t="shared" ref="C3:C9" si="1">_xlfn.POISSON.DIST(A3,0.45,FALSE)</f>
        <v>6.4559850351704542E-2</v>
      </c>
      <c r="D3">
        <f t="shared" ref="D3:D9" si="2">SQRT(SUMXMY2(B3:B10,C3:C10))</f>
        <v>0.41566688509537258</v>
      </c>
    </row>
    <row r="4" spans="1:4" ht="15" thickBot="1" x14ac:dyDescent="0.4">
      <c r="A4" s="2">
        <v>3</v>
      </c>
      <c r="B4">
        <f t="shared" si="0"/>
        <v>0.25682601656249998</v>
      </c>
      <c r="C4">
        <f t="shared" si="1"/>
        <v>9.6839775527556814E-3</v>
      </c>
      <c r="D4">
        <f t="shared" si="2"/>
        <v>0.40526924563802963</v>
      </c>
    </row>
    <row r="5" spans="1:4" ht="15" thickBot="1" x14ac:dyDescent="0.4">
      <c r="A5" s="2">
        <v>4</v>
      </c>
      <c r="B5">
        <f t="shared" si="0"/>
        <v>0.26266297148437501</v>
      </c>
      <c r="C5">
        <f t="shared" si="1"/>
        <v>1.0894474746850141E-3</v>
      </c>
      <c r="D5">
        <f t="shared" si="2"/>
        <v>0.32119149119197354</v>
      </c>
    </row>
    <row r="6" spans="1:4" ht="15" thickBot="1" x14ac:dyDescent="0.4">
      <c r="A6" s="2">
        <v>5</v>
      </c>
      <c r="B6">
        <f t="shared" si="0"/>
        <v>0.17192485406249994</v>
      </c>
      <c r="C6">
        <f t="shared" si="1"/>
        <v>9.805027272165129E-5</v>
      </c>
      <c r="D6">
        <f t="shared" si="2"/>
        <v>0.18639545474950772</v>
      </c>
    </row>
    <row r="7" spans="1:4" ht="15" thickBot="1" x14ac:dyDescent="0.4">
      <c r="A7" s="2">
        <v>6</v>
      </c>
      <c r="B7">
        <f t="shared" si="0"/>
        <v>7.033289484374998E-2</v>
      </c>
      <c r="C7">
        <f t="shared" si="1"/>
        <v>7.3537704541238459E-6</v>
      </c>
      <c r="D7">
        <f t="shared" si="2"/>
        <v>7.2241366616813199E-2</v>
      </c>
    </row>
    <row r="8" spans="1:4" ht="15" thickBot="1" x14ac:dyDescent="0.4">
      <c r="A8" s="2">
        <v>7</v>
      </c>
      <c r="B8">
        <f t="shared" si="0"/>
        <v>1.6441455937499998E-2</v>
      </c>
      <c r="C8">
        <f t="shared" si="1"/>
        <v>4.7274238633653345E-7</v>
      </c>
      <c r="D8">
        <f t="shared" si="2"/>
        <v>1.6526745699410643E-2</v>
      </c>
    </row>
    <row r="9" spans="1:4" ht="15" thickBot="1" x14ac:dyDescent="0.4">
      <c r="A9" s="2">
        <v>8</v>
      </c>
      <c r="B9">
        <f t="shared" si="0"/>
        <v>1.6815125390624997E-3</v>
      </c>
      <c r="C9">
        <f t="shared" si="1"/>
        <v>2.6591759231429915E-8</v>
      </c>
      <c r="D9">
        <f t="shared" si="2"/>
        <v>1.6814859473032683E-3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DA7C-E66A-4051-8980-5E343945BEF8}">
  <dimension ref="A1:B8"/>
  <sheetViews>
    <sheetView workbookViewId="0">
      <selection activeCell="M11" sqref="M11"/>
    </sheetView>
  </sheetViews>
  <sheetFormatPr defaultRowHeight="14.5" x14ac:dyDescent="0.35"/>
  <cols>
    <col min="1" max="1" width="19.90625" bestFit="1" customWidth="1"/>
    <col min="2" max="2" width="19.1796875" bestFit="1" customWidth="1"/>
  </cols>
  <sheetData>
    <row r="1" spans="1:2" ht="32" customHeight="1" thickBot="1" x14ac:dyDescent="0.4">
      <c r="A1" s="5" t="s">
        <v>56</v>
      </c>
      <c r="B1" s="6" t="s">
        <v>57</v>
      </c>
    </row>
    <row r="2" spans="1:2" ht="15" thickBot="1" x14ac:dyDescent="0.4">
      <c r="A2" s="1">
        <v>0</v>
      </c>
      <c r="B2">
        <f>_xlfn.BINOM.DIST(A2,6,0.08,FALSE)</f>
        <v>0.606355001344</v>
      </c>
    </row>
    <row r="3" spans="1:2" ht="15" thickBot="1" x14ac:dyDescent="0.4">
      <c r="A3" s="2">
        <v>1</v>
      </c>
      <c r="B3">
        <f t="shared" ref="B3:B8" si="0">_xlfn.BINOM.DIST(A3,6,0.08,FALSE)</f>
        <v>0.316359131136</v>
      </c>
    </row>
    <row r="4" spans="1:2" ht="15" thickBot="1" x14ac:dyDescent="0.4">
      <c r="A4" s="2">
        <v>2</v>
      </c>
      <c r="B4">
        <f t="shared" si="0"/>
        <v>6.877372415999998E-2</v>
      </c>
    </row>
    <row r="5" spans="1:2" ht="15" thickBot="1" x14ac:dyDescent="0.4">
      <c r="A5" s="2">
        <v>3</v>
      </c>
      <c r="B5">
        <f t="shared" si="0"/>
        <v>7.9737651199999985E-3</v>
      </c>
    </row>
    <row r="6" spans="1:2" ht="15" thickBot="1" x14ac:dyDescent="0.4">
      <c r="A6" s="2">
        <v>4</v>
      </c>
      <c r="B6">
        <f t="shared" si="0"/>
        <v>5.2002815999999986E-4</v>
      </c>
    </row>
    <row r="7" spans="1:2" ht="15" thickBot="1" x14ac:dyDescent="0.4">
      <c r="A7" s="2">
        <v>5</v>
      </c>
      <c r="B7">
        <f t="shared" si="0"/>
        <v>1.8087935999999988E-5</v>
      </c>
    </row>
    <row r="8" spans="1:2" ht="15" thickBot="1" x14ac:dyDescent="0.4">
      <c r="A8" s="2">
        <v>6</v>
      </c>
      <c r="B8">
        <f t="shared" si="0"/>
        <v>2.6214399999999973E-7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EF25-C4B7-4E64-8F4A-827AE4260BE5}">
  <dimension ref="A1:B14"/>
  <sheetViews>
    <sheetView workbookViewId="0">
      <selection activeCell="H2" sqref="H2"/>
    </sheetView>
  </sheetViews>
  <sheetFormatPr defaultRowHeight="14.5" x14ac:dyDescent="0.35"/>
  <cols>
    <col min="1" max="1" width="18.6328125" bestFit="1" customWidth="1"/>
    <col min="2" max="2" width="18.7265625" bestFit="1" customWidth="1"/>
  </cols>
  <sheetData>
    <row r="1" spans="1:2" ht="23" customHeight="1" thickBot="1" x14ac:dyDescent="0.4">
      <c r="A1" s="5" t="s">
        <v>58</v>
      </c>
      <c r="B1" s="6" t="s">
        <v>17</v>
      </c>
    </row>
    <row r="2" spans="1:2" ht="15" thickBot="1" x14ac:dyDescent="0.4">
      <c r="A2" s="1">
        <v>0</v>
      </c>
      <c r="B2">
        <f>_xlfn.POISSON.DIST(A2,4,FALSE)</f>
        <v>1.8315638888734179E-2</v>
      </c>
    </row>
    <row r="3" spans="1:2" ht="15" thickBot="1" x14ac:dyDescent="0.4">
      <c r="A3" s="2">
        <v>1</v>
      </c>
      <c r="B3">
        <f t="shared" ref="B3:B12" si="0">_xlfn.POISSON.DIST(A3,4,FALSE)</f>
        <v>7.3262555554936715E-2</v>
      </c>
    </row>
    <row r="4" spans="1:2" ht="15" thickBot="1" x14ac:dyDescent="0.4">
      <c r="A4" s="2">
        <v>2</v>
      </c>
      <c r="B4">
        <f t="shared" si="0"/>
        <v>0.14652511110987346</v>
      </c>
    </row>
    <row r="5" spans="1:2" ht="15" thickBot="1" x14ac:dyDescent="0.4">
      <c r="A5" s="2">
        <v>3</v>
      </c>
      <c r="B5">
        <f t="shared" si="0"/>
        <v>0.19536681481316462</v>
      </c>
    </row>
    <row r="6" spans="1:2" ht="15" thickBot="1" x14ac:dyDescent="0.4">
      <c r="A6" s="2">
        <v>4</v>
      </c>
      <c r="B6">
        <f t="shared" si="0"/>
        <v>0.19536681481316462</v>
      </c>
    </row>
    <row r="7" spans="1:2" ht="15" thickBot="1" x14ac:dyDescent="0.4">
      <c r="A7" s="2">
        <v>5</v>
      </c>
      <c r="B7">
        <f t="shared" si="0"/>
        <v>0.1562934518505317</v>
      </c>
    </row>
    <row r="8" spans="1:2" ht="15" thickBot="1" x14ac:dyDescent="0.4">
      <c r="A8" s="2">
        <v>6</v>
      </c>
      <c r="B8">
        <f t="shared" si="0"/>
        <v>0.10419563456702115</v>
      </c>
    </row>
    <row r="9" spans="1:2" ht="15" thickBot="1" x14ac:dyDescent="0.4">
      <c r="A9" s="2">
        <v>7</v>
      </c>
      <c r="B9">
        <f t="shared" si="0"/>
        <v>5.9540362609726373E-2</v>
      </c>
    </row>
    <row r="10" spans="1:2" ht="15" thickBot="1" x14ac:dyDescent="0.4">
      <c r="A10" s="2">
        <v>8</v>
      </c>
      <c r="B10">
        <f t="shared" si="0"/>
        <v>2.9770181304863183E-2</v>
      </c>
    </row>
    <row r="11" spans="1:2" ht="15" thickBot="1" x14ac:dyDescent="0.4">
      <c r="A11" s="2">
        <v>9</v>
      </c>
      <c r="B11">
        <f t="shared" si="0"/>
        <v>1.3231191691050297E-2</v>
      </c>
    </row>
    <row r="12" spans="1:2" ht="15" thickBot="1" x14ac:dyDescent="0.4">
      <c r="A12" s="2">
        <v>10</v>
      </c>
      <c r="B12">
        <f t="shared" si="0"/>
        <v>5.2924766764201169E-3</v>
      </c>
    </row>
    <row r="14" spans="1:2" x14ac:dyDescent="0.35">
      <c r="A14" t="s">
        <v>46</v>
      </c>
      <c r="B14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E47D-8D70-4FCD-BD67-06C10BDC990A}">
  <dimension ref="A1:E25"/>
  <sheetViews>
    <sheetView zoomScale="99" workbookViewId="0">
      <selection activeCell="N10" sqref="N10"/>
    </sheetView>
  </sheetViews>
  <sheetFormatPr defaultRowHeight="14.5" x14ac:dyDescent="0.35"/>
  <cols>
    <col min="1" max="1" width="14" bestFit="1" customWidth="1"/>
    <col min="2" max="2" width="17.90625" bestFit="1" customWidth="1"/>
  </cols>
  <sheetData>
    <row r="1" spans="1:5" ht="15" thickBot="1" x14ac:dyDescent="0.4">
      <c r="A1" s="5" t="s">
        <v>59</v>
      </c>
      <c r="B1" s="6" t="s">
        <v>60</v>
      </c>
    </row>
    <row r="2" spans="1:5" ht="15" thickBot="1" x14ac:dyDescent="0.4">
      <c r="A2" s="1">
        <v>148</v>
      </c>
      <c r="B2">
        <f>_xlfn.NORM.DIST(A2,163.5833,10.19768,FALSE)</f>
        <v>1.2171266300432691E-2</v>
      </c>
      <c r="D2" t="s">
        <v>49</v>
      </c>
      <c r="E2">
        <f>AVERAGE(A2:A25)</f>
        <v>163.58333333333334</v>
      </c>
    </row>
    <row r="3" spans="1:5" ht="15" thickBot="1" x14ac:dyDescent="0.4">
      <c r="A3" s="2">
        <v>150</v>
      </c>
      <c r="B3">
        <f t="shared" ref="B3:B25" si="0">_xlfn.NORM.DIST(A3,163.5833,10.19768,FALSE)</f>
        <v>1.6111700983276338E-2</v>
      </c>
      <c r="D3" t="s">
        <v>47</v>
      </c>
      <c r="E3">
        <f>STDEV(A2:A25)</f>
        <v>10.197683738143109</v>
      </c>
    </row>
    <row r="4" spans="1:5" ht="15" thickBot="1" x14ac:dyDescent="0.4">
      <c r="A4" s="2">
        <v>151</v>
      </c>
      <c r="B4">
        <f t="shared" si="0"/>
        <v>1.8271739872092123E-2</v>
      </c>
    </row>
    <row r="5" spans="1:5" ht="15" thickBot="1" x14ac:dyDescent="0.4">
      <c r="A5" s="2">
        <v>152</v>
      </c>
      <c r="B5">
        <f t="shared" si="0"/>
        <v>2.0523064577846674E-2</v>
      </c>
    </row>
    <row r="6" spans="1:5" ht="15" thickBot="1" x14ac:dyDescent="0.4">
      <c r="A6" s="2">
        <v>153</v>
      </c>
      <c r="B6">
        <f t="shared" si="0"/>
        <v>2.2831177851296111E-2</v>
      </c>
    </row>
    <row r="7" spans="1:5" ht="15" thickBot="1" x14ac:dyDescent="0.4">
      <c r="A7" s="2">
        <v>154</v>
      </c>
      <c r="B7">
        <f t="shared" si="0"/>
        <v>2.5155805029925992E-2</v>
      </c>
    </row>
    <row r="8" spans="1:5" ht="15" thickBot="1" x14ac:dyDescent="0.4">
      <c r="A8" s="2">
        <v>155</v>
      </c>
      <c r="B8">
        <f t="shared" si="0"/>
        <v>2.7451869170243545E-2</v>
      </c>
    </row>
    <row r="9" spans="1:5" ht="15" thickBot="1" x14ac:dyDescent="0.4">
      <c r="A9" s="2">
        <v>156</v>
      </c>
      <c r="B9">
        <f t="shared" si="0"/>
        <v>2.9670811080527559E-2</v>
      </c>
    </row>
    <row r="10" spans="1:5" ht="15" thickBot="1" x14ac:dyDescent="0.4">
      <c r="A10" s="2">
        <v>157</v>
      </c>
      <c r="B10">
        <f t="shared" si="0"/>
        <v>3.1762210063815431E-2</v>
      </c>
    </row>
    <row r="11" spans="1:5" ht="15" thickBot="1" x14ac:dyDescent="0.4">
      <c r="A11" s="2">
        <v>158</v>
      </c>
      <c r="B11">
        <f t="shared" si="0"/>
        <v>3.3675635994511295E-2</v>
      </c>
    </row>
    <row r="12" spans="1:5" ht="15" thickBot="1" x14ac:dyDescent="0.4">
      <c r="A12" s="2">
        <v>159</v>
      </c>
      <c r="B12">
        <f t="shared" si="0"/>
        <v>3.536264138241161E-2</v>
      </c>
    </row>
    <row r="13" spans="1:5" ht="15" thickBot="1" x14ac:dyDescent="0.4">
      <c r="A13" s="2">
        <v>160</v>
      </c>
      <c r="B13">
        <f t="shared" si="0"/>
        <v>3.6778785551477157E-2</v>
      </c>
    </row>
    <row r="14" spans="1:5" ht="15" thickBot="1" x14ac:dyDescent="0.4">
      <c r="A14" s="1">
        <v>166</v>
      </c>
      <c r="B14">
        <f t="shared" si="0"/>
        <v>3.8037613230675976E-2</v>
      </c>
    </row>
    <row r="15" spans="1:5" ht="15" thickBot="1" x14ac:dyDescent="0.4">
      <c r="A15" s="2">
        <v>167</v>
      </c>
      <c r="B15">
        <f t="shared" si="0"/>
        <v>3.698558806222222E-2</v>
      </c>
    </row>
    <row r="16" spans="1:5" ht="15" thickBot="1" x14ac:dyDescent="0.4">
      <c r="A16" s="2">
        <v>168</v>
      </c>
      <c r="B16">
        <f t="shared" si="0"/>
        <v>3.5618497519126456E-2</v>
      </c>
    </row>
    <row r="17" spans="1:2" ht="15" thickBot="1" x14ac:dyDescent="0.4">
      <c r="A17" s="2">
        <v>169</v>
      </c>
      <c r="B17">
        <f t="shared" si="0"/>
        <v>3.3973669756991939E-2</v>
      </c>
    </row>
    <row r="18" spans="1:2" ht="15" thickBot="1" x14ac:dyDescent="0.4">
      <c r="A18" s="2">
        <v>171</v>
      </c>
      <c r="B18">
        <f t="shared" si="0"/>
        <v>3.0029464201255809E-2</v>
      </c>
    </row>
    <row r="19" spans="1:2" ht="15" thickBot="1" x14ac:dyDescent="0.4">
      <c r="A19" s="2">
        <v>173</v>
      </c>
      <c r="B19">
        <f t="shared" si="0"/>
        <v>2.5541588035337119E-2</v>
      </c>
    </row>
    <row r="20" spans="1:2" ht="15" thickBot="1" x14ac:dyDescent="0.4">
      <c r="A20" s="2">
        <v>174</v>
      </c>
      <c r="B20">
        <f t="shared" si="0"/>
        <v>2.321847802296139E-2</v>
      </c>
    </row>
    <row r="21" spans="1:2" ht="15" thickBot="1" x14ac:dyDescent="0.4">
      <c r="A21" s="2">
        <v>175</v>
      </c>
      <c r="B21">
        <f t="shared" si="0"/>
        <v>2.0904673943393307E-2</v>
      </c>
    </row>
    <row r="22" spans="1:2" ht="15" thickBot="1" x14ac:dyDescent="0.4">
      <c r="A22" s="2">
        <v>176</v>
      </c>
      <c r="B22">
        <f t="shared" si="0"/>
        <v>1.864132788897551E-2</v>
      </c>
    </row>
    <row r="23" spans="1:2" ht="15" thickBot="1" x14ac:dyDescent="0.4">
      <c r="A23" s="2">
        <v>177</v>
      </c>
      <c r="B23">
        <f t="shared" si="0"/>
        <v>1.6463951964744677E-2</v>
      </c>
    </row>
    <row r="24" spans="1:2" ht="15" thickBot="1" x14ac:dyDescent="0.4">
      <c r="A24" s="2">
        <v>178</v>
      </c>
      <c r="B24">
        <f t="shared" si="0"/>
        <v>1.4401745520095658E-2</v>
      </c>
    </row>
    <row r="25" spans="1:2" ht="15" thickBot="1" x14ac:dyDescent="0.4">
      <c r="A25" s="2">
        <v>179</v>
      </c>
      <c r="B25">
        <f t="shared" si="0"/>
        <v>1.2477281474499832E-2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02F0-69BF-438A-933C-1E38FAE1947E}">
  <dimension ref="A1:H6"/>
  <sheetViews>
    <sheetView workbookViewId="0">
      <selection activeCell="D10" sqref="D10"/>
    </sheetView>
  </sheetViews>
  <sheetFormatPr defaultRowHeight="14.5" x14ac:dyDescent="0.35"/>
  <cols>
    <col min="3" max="3" width="12.453125" customWidth="1"/>
    <col min="4" max="4" width="12.08984375" customWidth="1"/>
  </cols>
  <sheetData>
    <row r="1" spans="1:8" ht="26.5" thickBot="1" x14ac:dyDescent="0.4">
      <c r="A1" s="5" t="s">
        <v>61</v>
      </c>
      <c r="B1" s="6">
        <v>12</v>
      </c>
      <c r="C1" s="6">
        <v>15</v>
      </c>
      <c r="D1" s="6">
        <v>10</v>
      </c>
      <c r="E1" s="6">
        <v>9</v>
      </c>
      <c r="F1" s="6">
        <v>6</v>
      </c>
      <c r="G1" s="6">
        <v>5</v>
      </c>
      <c r="H1" s="6">
        <v>9</v>
      </c>
    </row>
    <row r="2" spans="1:8" ht="15" thickBot="1" x14ac:dyDescent="0.4">
      <c r="A2" s="2" t="s">
        <v>62</v>
      </c>
      <c r="B2" s="7">
        <v>95</v>
      </c>
      <c r="C2" s="7">
        <v>82</v>
      </c>
      <c r="D2" s="7">
        <v>55</v>
      </c>
      <c r="E2" s="7">
        <v>65</v>
      </c>
      <c r="F2" s="7">
        <v>72</v>
      </c>
      <c r="G2" s="7">
        <v>38</v>
      </c>
      <c r="H2" s="7">
        <v>50</v>
      </c>
    </row>
    <row r="5" spans="1:8" x14ac:dyDescent="0.35">
      <c r="C5" t="s">
        <v>63</v>
      </c>
      <c r="D5">
        <f>_xlfn.COVARIANCE.P(B1:H1,B2:H2)</f>
        <v>38.306122448979586</v>
      </c>
    </row>
    <row r="6" spans="1:8" x14ac:dyDescent="0.35">
      <c r="C6" t="s">
        <v>64</v>
      </c>
      <c r="D6">
        <f>CORREL(B1:H1, B2:H2)</f>
        <v>0.67089133025883951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DB6-9B09-4652-876C-B1C6FC73D47D}">
  <dimension ref="A1:D12"/>
  <sheetViews>
    <sheetView workbookViewId="0">
      <selection activeCell="B13" sqref="B13"/>
    </sheetView>
  </sheetViews>
  <sheetFormatPr defaultRowHeight="14.5" x14ac:dyDescent="0.35"/>
  <cols>
    <col min="1" max="1" width="18.81640625" customWidth="1"/>
  </cols>
  <sheetData>
    <row r="1" spans="1:4" ht="15" thickBot="1" x14ac:dyDescent="0.4">
      <c r="A1" s="5" t="s">
        <v>65</v>
      </c>
      <c r="B1" s="6" t="s">
        <v>66</v>
      </c>
      <c r="C1" s="6" t="s">
        <v>67</v>
      </c>
      <c r="D1" s="6" t="s">
        <v>68</v>
      </c>
    </row>
    <row r="2" spans="1:4" ht="15" thickBot="1" x14ac:dyDescent="0.4">
      <c r="A2" s="2">
        <v>3</v>
      </c>
      <c r="B2" s="7">
        <v>75</v>
      </c>
      <c r="C2" s="7">
        <v>68</v>
      </c>
      <c r="D2" s="7">
        <v>12</v>
      </c>
    </row>
    <row r="3" spans="1:4" ht="15" thickBot="1" x14ac:dyDescent="0.4">
      <c r="A3" s="2">
        <v>6</v>
      </c>
      <c r="B3" s="7">
        <v>90</v>
      </c>
      <c r="C3" s="7">
        <v>72</v>
      </c>
      <c r="D3" s="7">
        <v>28</v>
      </c>
    </row>
    <row r="4" spans="1:4" ht="15" thickBot="1" x14ac:dyDescent="0.4">
      <c r="A4" s="2">
        <v>7</v>
      </c>
      <c r="B4" s="7">
        <v>78</v>
      </c>
      <c r="C4" s="7">
        <v>63</v>
      </c>
      <c r="D4" s="7">
        <v>18</v>
      </c>
    </row>
    <row r="5" spans="1:4" ht="15" thickBot="1" x14ac:dyDescent="0.4">
      <c r="A5" s="2">
        <v>9</v>
      </c>
      <c r="B5" s="7">
        <v>55</v>
      </c>
      <c r="C5" s="7">
        <v>92</v>
      </c>
      <c r="D5" s="7">
        <v>22</v>
      </c>
    </row>
    <row r="6" spans="1:4" ht="15" thickBot="1" x14ac:dyDescent="0.4">
      <c r="A6" s="2">
        <v>11</v>
      </c>
      <c r="B6" s="7">
        <v>64</v>
      </c>
      <c r="C6" s="7">
        <v>83</v>
      </c>
      <c r="D6" s="7">
        <v>14</v>
      </c>
    </row>
    <row r="8" spans="1:4" ht="15" thickBot="1" x14ac:dyDescent="0.4"/>
    <row r="9" spans="1:4" ht="26.5" thickBot="1" x14ac:dyDescent="0.4">
      <c r="A9" s="5" t="s">
        <v>69</v>
      </c>
      <c r="B9" s="5" t="s">
        <v>73</v>
      </c>
    </row>
    <row r="10" spans="1:4" ht="15" thickBot="1" x14ac:dyDescent="0.4">
      <c r="A10" s="2" t="s">
        <v>70</v>
      </c>
      <c r="B10">
        <f>PEARSON(A2:A6,B2:B6)</f>
        <v>-0.59173228560905433</v>
      </c>
    </row>
    <row r="11" spans="1:4" ht="15" thickBot="1" x14ac:dyDescent="0.4">
      <c r="A11" s="2" t="s">
        <v>71</v>
      </c>
      <c r="B11">
        <f>PEARSON(A2:A6,C2:C6)</f>
        <v>0.67563484374042004</v>
      </c>
    </row>
    <row r="12" spans="1:4" ht="15" thickBot="1" x14ac:dyDescent="0.4">
      <c r="A12" s="2" t="s">
        <v>72</v>
      </c>
      <c r="B12">
        <f>PEARSON(A2:A6,D2:D6)</f>
        <v>6.6772991054155087E-2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9FAF-4BE9-423E-8C22-9889AA884793}">
  <dimension ref="A1:H10"/>
  <sheetViews>
    <sheetView workbookViewId="0">
      <selection activeCell="I3" sqref="I3"/>
    </sheetView>
  </sheetViews>
  <sheetFormatPr defaultRowHeight="14.5" x14ac:dyDescent="0.35"/>
  <cols>
    <col min="1" max="1" width="18.26953125" bestFit="1" customWidth="1"/>
  </cols>
  <sheetData>
    <row r="1" spans="1:8" ht="15" thickBot="1" x14ac:dyDescent="0.4">
      <c r="A1" s="5" t="s">
        <v>74</v>
      </c>
      <c r="B1" s="6" t="s">
        <v>75</v>
      </c>
      <c r="C1" s="6" t="s">
        <v>76</v>
      </c>
      <c r="D1" s="6" t="s">
        <v>77</v>
      </c>
      <c r="E1" s="6" t="s">
        <v>78</v>
      </c>
      <c r="F1" s="15" t="s">
        <v>79</v>
      </c>
      <c r="G1" s="16" t="s">
        <v>85</v>
      </c>
    </row>
    <row r="2" spans="1:8" ht="15" thickBot="1" x14ac:dyDescent="0.4">
      <c r="A2" s="13">
        <v>44105</v>
      </c>
      <c r="B2" s="7">
        <v>2</v>
      </c>
      <c r="C2" s="7">
        <v>1</v>
      </c>
      <c r="D2" s="7">
        <v>1</v>
      </c>
      <c r="E2" s="7">
        <v>0</v>
      </c>
      <c r="F2" s="7">
        <v>4</v>
      </c>
      <c r="G2" s="17">
        <v>15</v>
      </c>
    </row>
    <row r="3" spans="1:8" ht="15" thickBot="1" x14ac:dyDescent="0.4">
      <c r="A3" s="2" t="s">
        <v>80</v>
      </c>
      <c r="B3" s="7">
        <v>3</v>
      </c>
      <c r="C3" s="7">
        <v>2</v>
      </c>
      <c r="D3" s="7">
        <v>3</v>
      </c>
      <c r="E3" s="7">
        <v>1</v>
      </c>
      <c r="F3" s="7">
        <v>9</v>
      </c>
      <c r="G3" s="17">
        <v>25</v>
      </c>
      <c r="H3">
        <f>CORREL(B9:E9, B8:E8)</f>
        <v>0.77459666924148329</v>
      </c>
    </row>
    <row r="4" spans="1:8" ht="15" thickBot="1" x14ac:dyDescent="0.4">
      <c r="A4" s="2" t="s">
        <v>81</v>
      </c>
      <c r="B4" s="7">
        <v>3</v>
      </c>
      <c r="C4" s="7">
        <v>3</v>
      </c>
      <c r="D4" s="7">
        <v>5</v>
      </c>
      <c r="E4" s="7">
        <v>6</v>
      </c>
      <c r="F4" s="7">
        <v>17</v>
      </c>
      <c r="G4" s="17">
        <v>35</v>
      </c>
    </row>
    <row r="5" spans="1:8" ht="15" thickBot="1" x14ac:dyDescent="0.4">
      <c r="A5" s="2" t="s">
        <v>82</v>
      </c>
      <c r="B5" s="7">
        <v>2</v>
      </c>
      <c r="C5" s="7">
        <v>2</v>
      </c>
      <c r="D5" s="7">
        <v>3</v>
      </c>
      <c r="E5" s="7">
        <v>4</v>
      </c>
      <c r="F5" s="7">
        <v>11</v>
      </c>
      <c r="G5" s="12">
        <v>45</v>
      </c>
    </row>
    <row r="6" spans="1:8" ht="15" thickBot="1" x14ac:dyDescent="0.4">
      <c r="A6" s="2" t="s">
        <v>83</v>
      </c>
      <c r="B6" s="7">
        <v>0</v>
      </c>
      <c r="C6" s="7">
        <v>1</v>
      </c>
      <c r="D6" s="7">
        <v>2</v>
      </c>
      <c r="E6" s="7">
        <v>2</v>
      </c>
      <c r="F6" s="7">
        <v>5</v>
      </c>
      <c r="G6" s="12">
        <v>55</v>
      </c>
    </row>
    <row r="7" spans="1:8" ht="15" thickBot="1" x14ac:dyDescent="0.4">
      <c r="A7" s="2" t="s">
        <v>84</v>
      </c>
      <c r="B7" s="7">
        <v>0</v>
      </c>
      <c r="C7" s="7">
        <v>1</v>
      </c>
      <c r="D7" s="7">
        <v>2</v>
      </c>
      <c r="E7" s="7">
        <v>1</v>
      </c>
      <c r="F7" s="7">
        <v>4</v>
      </c>
      <c r="G7" s="12">
        <v>65</v>
      </c>
    </row>
    <row r="8" spans="1:8" x14ac:dyDescent="0.35">
      <c r="A8" s="14" t="s">
        <v>79</v>
      </c>
      <c r="B8">
        <f>SUM(B2:B7)</f>
        <v>10</v>
      </c>
      <c r="C8">
        <f t="shared" ref="C8:F8" si="0">SUM(C2:C7)</f>
        <v>10</v>
      </c>
      <c r="D8">
        <f t="shared" si="0"/>
        <v>16</v>
      </c>
      <c r="E8">
        <f t="shared" si="0"/>
        <v>14</v>
      </c>
      <c r="F8">
        <f t="shared" si="0"/>
        <v>50</v>
      </c>
    </row>
    <row r="9" spans="1:8" x14ac:dyDescent="0.35">
      <c r="B9" s="12">
        <v>17</v>
      </c>
      <c r="C9" s="12">
        <v>19</v>
      </c>
      <c r="D9" s="12">
        <v>21</v>
      </c>
      <c r="E9" s="12">
        <v>23</v>
      </c>
    </row>
    <row r="10" spans="1:8" x14ac:dyDescent="0.35">
      <c r="A10">
        <f>CORREL(G2:G7,F2:F7)</f>
        <v>-0.18773100345753577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0A15-0287-43B0-BC07-295F47091CFF}">
  <dimension ref="A1:B6"/>
  <sheetViews>
    <sheetView workbookViewId="0">
      <selection activeCell="C3" sqref="C3"/>
    </sheetView>
  </sheetViews>
  <sheetFormatPr defaultRowHeight="14.5" x14ac:dyDescent="0.35"/>
  <cols>
    <col min="2" max="2" width="24.08984375" bestFit="1" customWidth="1"/>
  </cols>
  <sheetData>
    <row r="1" spans="1:2" ht="26" customHeight="1" thickBot="1" x14ac:dyDescent="0.4">
      <c r="A1" s="5" t="s">
        <v>52</v>
      </c>
      <c r="B1" s="5" t="s">
        <v>86</v>
      </c>
    </row>
    <row r="2" spans="1:2" ht="15" thickBot="1" x14ac:dyDescent="0.4">
      <c r="A2" s="2">
        <v>1</v>
      </c>
      <c r="B2">
        <f ca="1">_xlfn.BINOM.INV(1,0.35,RAND())</f>
        <v>0</v>
      </c>
    </row>
    <row r="3" spans="1:2" ht="15" thickBot="1" x14ac:dyDescent="0.4">
      <c r="A3" s="2">
        <v>2</v>
      </c>
      <c r="B3">
        <f t="shared" ref="B3:B6" ca="1" si="0">_xlfn.BINOM.INV(1,0.35,RAND())</f>
        <v>1</v>
      </c>
    </row>
    <row r="4" spans="1:2" ht="15" thickBot="1" x14ac:dyDescent="0.4">
      <c r="A4" s="2">
        <v>3</v>
      </c>
      <c r="B4">
        <f t="shared" ca="1" si="0"/>
        <v>1</v>
      </c>
    </row>
    <row r="5" spans="1:2" ht="15" thickBot="1" x14ac:dyDescent="0.4">
      <c r="A5" s="2">
        <v>4</v>
      </c>
      <c r="B5">
        <f t="shared" ca="1" si="0"/>
        <v>0</v>
      </c>
    </row>
    <row r="6" spans="1:2" ht="15" thickBot="1" x14ac:dyDescent="0.4">
      <c r="A6" s="2">
        <v>5</v>
      </c>
      <c r="B6">
        <f t="shared" ca="1" si="0"/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AC68-0FE0-4A36-97D5-29D72993456C}">
  <dimension ref="A1:B6"/>
  <sheetViews>
    <sheetView workbookViewId="0">
      <selection activeCell="B2" sqref="B2:B6"/>
    </sheetView>
  </sheetViews>
  <sheetFormatPr defaultRowHeight="14.5" x14ac:dyDescent="0.35"/>
  <cols>
    <col min="2" max="2" width="24.08984375" bestFit="1" customWidth="1"/>
  </cols>
  <sheetData>
    <row r="1" spans="1:2" ht="21.5" customHeight="1" thickBot="1" x14ac:dyDescent="0.4">
      <c r="A1" s="5" t="s">
        <v>52</v>
      </c>
      <c r="B1" s="6" t="s">
        <v>86</v>
      </c>
    </row>
    <row r="2" spans="1:2" ht="15" thickBot="1" x14ac:dyDescent="0.4">
      <c r="A2" s="1">
        <v>1</v>
      </c>
      <c r="B2">
        <f ca="1">_xlfn.NORM.INV(RAND(), 25, 6)</f>
        <v>24.003423183428339</v>
      </c>
    </row>
    <row r="3" spans="1:2" ht="15" thickBot="1" x14ac:dyDescent="0.4">
      <c r="A3" s="2">
        <v>2</v>
      </c>
      <c r="B3">
        <f t="shared" ref="B3:B6" ca="1" si="0">_xlfn.NORM.INV(RAND(), 25, 6)</f>
        <v>28.962678654929295</v>
      </c>
    </row>
    <row r="4" spans="1:2" ht="15" thickBot="1" x14ac:dyDescent="0.4">
      <c r="A4" s="2">
        <v>3</v>
      </c>
      <c r="B4">
        <f t="shared" ca="1" si="0"/>
        <v>31.516618641153386</v>
      </c>
    </row>
    <row r="5" spans="1:2" ht="15" thickBot="1" x14ac:dyDescent="0.4">
      <c r="A5" s="2">
        <v>4</v>
      </c>
      <c r="B5">
        <f t="shared" ca="1" si="0"/>
        <v>27.674694783772424</v>
      </c>
    </row>
    <row r="6" spans="1:2" ht="15" thickBot="1" x14ac:dyDescent="0.4">
      <c r="A6" s="2">
        <v>5</v>
      </c>
      <c r="B6">
        <f t="shared" ca="1" si="0"/>
        <v>19.740228225603843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C376-CEB1-49B3-9B9E-7418A7A6DC2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8AEE-C552-44D7-B763-ECE0B7A7F639}">
  <dimension ref="A1:B12"/>
  <sheetViews>
    <sheetView workbookViewId="0">
      <selection activeCell="K12" sqref="K12"/>
    </sheetView>
  </sheetViews>
  <sheetFormatPr defaultRowHeight="14.5" x14ac:dyDescent="0.35"/>
  <cols>
    <col min="2" max="2" width="9.36328125" bestFit="1" customWidth="1"/>
  </cols>
  <sheetData>
    <row r="1" spans="1:2" ht="15" thickBot="1" x14ac:dyDescent="0.4">
      <c r="A1" s="5" t="s">
        <v>87</v>
      </c>
      <c r="B1" s="6" t="s">
        <v>88</v>
      </c>
    </row>
    <row r="2" spans="1:2" x14ac:dyDescent="0.35">
      <c r="A2">
        <v>0.01</v>
      </c>
      <c r="B2" s="3">
        <f>-A2*LOG(A2, 2) - (1-A2)*LOG(1-A2, 2)</f>
        <v>8.0793135895911181E-2</v>
      </c>
    </row>
    <row r="3" spans="1:2" x14ac:dyDescent="0.35">
      <c r="A3">
        <v>0.1</v>
      </c>
      <c r="B3" s="3">
        <f t="shared" ref="B3:B12" si="0">-A3*LOG(A3, 2) - (1-A3)*LOG(1-A3, 2)</f>
        <v>0.46899559358928122</v>
      </c>
    </row>
    <row r="4" spans="1:2" x14ac:dyDescent="0.35">
      <c r="A4">
        <v>0.2</v>
      </c>
      <c r="B4" s="3">
        <f t="shared" si="0"/>
        <v>0.72192809488736231</v>
      </c>
    </row>
    <row r="5" spans="1:2" x14ac:dyDescent="0.35">
      <c r="A5">
        <v>0.3</v>
      </c>
      <c r="B5" s="3">
        <f t="shared" si="0"/>
        <v>0.8812908992306927</v>
      </c>
    </row>
    <row r="6" spans="1:2" x14ac:dyDescent="0.35">
      <c r="A6">
        <v>0.4</v>
      </c>
      <c r="B6" s="3">
        <f t="shared" si="0"/>
        <v>0.97095059445466858</v>
      </c>
    </row>
    <row r="7" spans="1:2" x14ac:dyDescent="0.35">
      <c r="A7">
        <v>0.5</v>
      </c>
      <c r="B7" s="3">
        <f t="shared" si="0"/>
        <v>1</v>
      </c>
    </row>
    <row r="8" spans="1:2" x14ac:dyDescent="0.35">
      <c r="A8">
        <v>0.6</v>
      </c>
      <c r="B8" s="3">
        <f t="shared" si="0"/>
        <v>0.97095059445466858</v>
      </c>
    </row>
    <row r="9" spans="1:2" x14ac:dyDescent="0.35">
      <c r="A9">
        <v>0.7</v>
      </c>
      <c r="B9" s="3">
        <f t="shared" si="0"/>
        <v>0.8812908992306927</v>
      </c>
    </row>
    <row r="10" spans="1:2" x14ac:dyDescent="0.35">
      <c r="A10">
        <v>0.8</v>
      </c>
      <c r="B10" s="3">
        <f t="shared" si="0"/>
        <v>0.72192809488736231</v>
      </c>
    </row>
    <row r="11" spans="1:2" x14ac:dyDescent="0.35">
      <c r="A11">
        <v>0.9</v>
      </c>
      <c r="B11" s="3">
        <f t="shared" si="0"/>
        <v>0.46899559358928117</v>
      </c>
    </row>
    <row r="12" spans="1:2" x14ac:dyDescent="0.35">
      <c r="A12">
        <v>0.99</v>
      </c>
      <c r="B12" s="3">
        <f t="shared" si="0"/>
        <v>8.0793135895911236E-2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Binomial Distribution </vt:lpstr>
      <vt:lpstr>Multinomial Distribution </vt:lpstr>
      <vt:lpstr>Poisson Distribution </vt:lpstr>
      <vt:lpstr>Geometric Distribution </vt:lpstr>
      <vt:lpstr>Uniform Distribution </vt:lpstr>
      <vt:lpstr>Exponential Distribution </vt:lpstr>
      <vt:lpstr>Normal Distribution </vt:lpstr>
      <vt:lpstr>Cumulative Distribution </vt:lpstr>
      <vt:lpstr>Distance </vt:lpstr>
      <vt:lpstr>Binomial Distribution</vt:lpstr>
      <vt:lpstr>Poisson Distribution</vt:lpstr>
      <vt:lpstr>Normal Distribution</vt:lpstr>
      <vt:lpstr>Covariance and Correlation </vt:lpstr>
      <vt:lpstr>Karl Pearson's Correlation Coef</vt:lpstr>
      <vt:lpstr>Frequency Distribution</vt:lpstr>
      <vt:lpstr>Random Numbers from Discrete</vt:lpstr>
      <vt:lpstr>Random Numbers from Continuous </vt:lpstr>
      <vt:lpstr>Sheet19</vt:lpstr>
      <vt:lpstr>Entropy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Panshul Vikram Aggarwal</dc:creator>
  <cp:lastModifiedBy>Panshul Vikram Aggarwal</cp:lastModifiedBy>
  <dcterms:created xsi:type="dcterms:W3CDTF">2026-04-28T10:25:18Z</dcterms:created>
  <dcterms:modified xsi:type="dcterms:W3CDTF">2026-04-28T12:56:50Z</dcterms:modified>
</cp:coreProperties>
</file>